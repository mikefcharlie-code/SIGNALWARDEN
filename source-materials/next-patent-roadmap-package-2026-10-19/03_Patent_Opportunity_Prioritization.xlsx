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97cc393c642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b9fa021d3114c67"/>
    <x:sheet xmlns:r="http://schemas.openxmlformats.org/officeDocument/2006/relationships" name="Weights" sheetId="2" r:id="Rc0aa2142ea44474a"/>
    <x:sheet xmlns:r="http://schemas.openxmlformats.org/officeDocument/2006/relationships" name="Candidates" sheetId="3" r:id="Rad5edafeb7c44172"/>
    <x:sheet xmlns:r="http://schemas.openxmlformats.org/officeDocument/2006/relationships" name="Gate Plan" sheetId="4" r:id="R620ef612984f4a65"/>
    <x:sheet xmlns:r="http://schemas.openxmlformats.org/officeDocument/2006/relationships" name="Source Register" sheetId="5" r:id="Ra75ad6a5049044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0F7C8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0F7C83"/>
      </x:patternFill>
    </x:fill>
    <x:fill>
      <x:patternFill patternType="solid">
        <x:fgColor rgb="FFEAF3F5"/>
      </x:patternFill>
    </x:fill>
    <x:fill>
      <x:patternFill patternType="solid">
        <x:fgColor rgb="FFF3F6F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531c8ed5fe4d33" /><Relationship Type="http://schemas.openxmlformats.org/officeDocument/2006/relationships/theme" Target="/xl/theme/theme1.xml" Id="R73cbfd4d48f04c07" /><Relationship Type="http://schemas.openxmlformats.org/officeDocument/2006/relationships/sharedStrings" Target="/xl/sharedStrings.xml" Id="R505cec4940e74db1" /><Relationship Type="http://schemas.openxmlformats.org/officeDocument/2006/relationships/worksheet" Target="/xl/worksheets/sheet1.xml" Id="R0b9fa021d3114c67" /><Relationship Type="http://schemas.openxmlformats.org/officeDocument/2006/relationships/worksheet" Target="/xl/worksheets/sheet2.xml" Id="Rc0aa2142ea44474a" /><Relationship Type="http://schemas.openxmlformats.org/officeDocument/2006/relationships/worksheet" Target="/xl/worksheets/sheet3.xml" Id="Rad5edafeb7c44172" /><Relationship Type="http://schemas.openxmlformats.org/officeDocument/2006/relationships/worksheet" Target="/xl/worksheets/sheet4.xml" Id="R620ef612984f4a65" /><Relationship Type="http://schemas.openxmlformats.org/officeDocument/2006/relationships/worksheet" Target="/xl/worksheets/sheet5.xml" Id="Ra75ad6a5049044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9" hidden="0" customWidth="1"/>
    <x:col min="2" max="2" width="34" hidden="0" customWidth="1"/>
    <x:col min="3" max="3" width="16" hidden="0" customWidth="1"/>
    <x:col min="4" max="4" width="14" hidden="0" customWidth="1"/>
    <x:col min="5" max="5" width="48" hidden="0" customWidth="1"/>
    <x:col min="6" max="6" width="16" hidden="0" customWidth="1"/>
  </x:cols>
  <x:sheetData>
    <x:row r="1">
      <x:c r="A1" s="3" t="str">
        <x:v>NEXT PATENT DEVELOPMENT | DECISION DASHBOARD</x:v>
      </x:c>
      <x:c r="B1" s="3"/>
      <x:c r="C1" s="3"/>
      <x:c r="D1" s="3"/>
      <x:c r="E1" s="3"/>
      <x:c r="F1" s="3"/>
    </x:row>
    <x:row r="2">
      <x:c r="A2" s="23" t="str">
        <x:v>Source synthesis: AEROSYNC • AQUAVANTIS-G • SAGE-APC • UCAS revised (2026-10-06)</x:v>
      </x:c>
      <x:c r="B2" s="23"/>
      <x:c r="C2" s="23"/>
      <x:c r="D2" s="23"/>
      <x:c r="E2" s="23"/>
      <x:c r="F2" s="23"/>
    </x:row>
    <x:row r="4">
      <x:c r="A4" s="9" t="str">
        <x:v>Recommended next concept: TRACEGATE</x:v>
      </x:c>
      <x:c r="B4" s="9"/>
      <x:c r="C4" s="9"/>
      <x:c r="D4" s="9"/>
      <x:c r="E4" s="9"/>
      <x:c r="F4" s="9"/>
    </x:row>
    <x:row r="5">
      <x:c r="A5" s="28" t="str">
        <x:v>Configuration-linked autonomy verification and change-impact gate: map each hardware/software/model/payload change to the safety requirements and validation evidence that must be refreshed before a bounded readiness decision. Keep it pre-deployment and do not make it another vehicle controller or mission planner.</x:v>
      </x:c>
      <x:c r="B5" s="28"/>
      <x:c r="C5" s="28"/>
      <x:c r="D5" s="28"/>
      <x:c r="E5" s="28"/>
      <x:c r="F5" s="28"/>
    </x:row>
    <x:row r="6">
      <x:c r="A6" s="28"/>
      <x:c r="B6" s="28"/>
      <x:c r="C6" s="28"/>
      <x:c r="D6" s="28"/>
      <x:c r="E6" s="28"/>
      <x:c r="F6" s="28"/>
    </x:row>
    <x:row r="8">
      <x:c r="A8" s="32" t="str">
        <x:v>Rank</x:v>
      </x:c>
      <x:c r="B8" s="32" t="str">
        <x:v>Candidate</x:v>
      </x:c>
      <x:c r="C8" s="32" t="str">
        <x:v>Weighted score</x:v>
      </x:c>
      <x:c r="D8" s="32" t="str">
        <x:v>Opportunity ID</x:v>
      </x:c>
      <x:c r="E8" s="32" t="str">
        <x:v>Key next step</x:v>
      </x:c>
      <x:c r="F8" s="32" t="str">
        <x:v>Status</x:v>
      </x:c>
    </x:row>
    <x:row r="9">
      <x:c r="A9" s="14" t="n">
        <x:v>1</x:v>
      </x:c>
      <x:c r="B9" s="14" t="str">
        <x:v>TRACEGATE</x:v>
      </x:c>
      <x:c r="C9" s="20" t="n">
        <x:f>Candidates!J3</x:f>
        <x:v>4.55</x:v>
      </x:c>
      <x:c r="D9" s="14" t="str">
        <x:v>C1</x:v>
      </x:c>
      <x:c r="E9" s="14" t="str">
        <x:v>Define dependency graph + 3 change scenarios</x:v>
      </x:c>
      <x:c r="F9" s="14" t="str">
        <x:v>Recommended</x:v>
      </x:c>
    </x:row>
    <x:row r="10">
      <x:c r="A10" s="14" t="n">
        <x:v>2</x:v>
      </x:c>
      <x:c r="B10" s="14" t="str">
        <x:v>Configuration / maintenance passport</x:v>
      </x:c>
      <x:c r="C10" s="20" t="n">
        <x:f>Candidates!J4</x:f>
        <x:v>4.25</x:v>
      </x:c>
      <x:c r="D10" s="14" t="str">
        <x:v>C2</x:v>
      </x:c>
      <x:c r="E10" s="14" t="str">
        <x:v>Treat as TRACEGATE input unless distinct mechanism emerges</x:v>
      </x:c>
      <x:c r="F10" s="14" t="str">
        <x:v>Watch</x:v>
      </x:c>
    </x:row>
    <x:row r="11">
      <x:c r="A11" s="14" t="n">
        <x:v>3</x:v>
      </x:c>
      <x:c r="B11" s="14" t="str">
        <x:v>Sensor data-quality evidence service</x:v>
      </x:c>
      <x:c r="C11" s="20" t="n">
        <x:f>Candidates!J5</x:f>
        <x:v>3.9</x:v>
      </x:c>
      <x:c r="D11" s="14" t="str">
        <x:v>C3</x:v>
      </x:c>
      <x:c r="E11" s="14" t="str">
        <x:v>Prototype as submodule if needed</x:v>
      </x:c>
      <x:c r="F11" s="14" t="str">
        <x:v>Watch</x:v>
      </x:c>
    </x:row>
    <x:row r="12">
      <x:c r="A12" s="14" t="n">
        <x:v>4</x:v>
      </x:c>
      <x:c r="B12" s="14" t="str">
        <x:v>Digital-twin / regression bench</x:v>
      </x:c>
      <x:c r="C12" s="20" t="n">
        <x:f>Candidates!J6</x:f>
        <x:v>3.5500000000000003</x:v>
      </x:c>
      <x:c r="D12" s="14" t="str">
        <x:v>C4</x:v>
      </x:c>
      <x:c r="E12" s="14" t="str">
        <x:v>Avoid broad digital-twin scope</x:v>
      </x:c>
      <x:c r="F12" s="14" t="str">
        <x:v>Defer</x:v>
      </x:c>
    </x:row>
    <x:row r="13">
      <x:c r="A13" s="14" t="n">
        <x:v>5</x:v>
      </x:c>
      <x:c r="B13" s="14" t="str">
        <x:v>Energy-aware recovery manager</x:v>
      </x:c>
      <x:c r="C13" s="20" t="n">
        <x:f>Candidates!J7</x:f>
        <x:v>3.35</x:v>
      </x:c>
      <x:c r="D13" s="14" t="str">
        <x:v>C5</x:v>
      </x:c>
      <x:c r="E13" s="14" t="str">
        <x:v>High overlap with UCAS and published UAS art</x:v>
      </x:c>
      <x:c r="F13" s="14" t="str">
        <x:v>Defer</x:v>
      </x:c>
    </x:row>
    <x:row r="14">
      <x:c r="A14" s="14" t="n">
        <x:v>6</x:v>
      </x:c>
      <x:c r="B14" s="14" t="str">
        <x:v>Domain-specific vehicle subsystem</x:v>
      </x:c>
      <x:c r="C14" s="20" t="n">
        <x:f>Candidates!J8</x:f>
        <x:v>2.6000000000000005</x:v>
      </x:c>
      <x:c r="D14" s="14" t="str">
        <x:v>C6</x:v>
      </x:c>
      <x:c r="E14" s="14" t="str">
        <x:v>Resolve platform identity and test resources first</x:v>
      </x:c>
      <x:c r="F14" s="14" t="str">
        <x:v>Defer</x:v>
      </x:c>
    </x:row>
    <x:row r="16">
      <x:c r="A16" t="str">
        <x:v>Source issue: AQUAVANTIS-G supplied documents describe a civilian UGV, not a submarine. Resolve before merging platform-specific work.</x:v>
      </x:c>
    </x:row>
    <x:row r="18">
      <x:c r="A18" t="str">
        <x:v>Caution: subjective priorities; not patentability, freedom-to-operate, legal advice, safety certification, or evidence of performance.</x:v>
      </x:c>
    </x:row>
  </x:sheetData>
  <x:mergeCells>
    <x:mergeCell ref="A1:F1"/>
    <x:mergeCell ref="A2:F2"/>
    <x:mergeCell ref="A4:F4"/>
    <x:mergeCell ref="A5:F6"/>
    <x:mergeCell ref="A16:F16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12" hidden="0" customWidth="1"/>
    <x:col min="3" max="3" width="68" hidden="0" customWidth="1"/>
  </x:cols>
  <x:sheetData>
    <x:row r="1">
      <x:c r="A1" s="4" t="str">
        <x:v>Opportunity Scoring Weights</x:v>
      </x:c>
      <x:c r="B1" s="4"/>
      <x:c r="C1" s="4"/>
    </x:row>
    <x:row r="2">
      <x:c r="A2" s="10" t="str">
        <x:v>Criterion</x:v>
      </x:c>
      <x:c r="B2" s="10" t="str">
        <x:v>Weight</x:v>
      </x:c>
      <x:c r="C2" s="10" t="str">
        <x:v>Definition</x:v>
      </x:c>
    </x:row>
    <x:row r="3">
      <x:c r="A3" s="14" t="str">
        <x:v>Strategic fit</x:v>
      </x:c>
      <x:c r="B3" s="16" t="n">
        <x:v>0.2</x:v>
      </x:c>
      <x:c r="C3" s="14" t="str">
        <x:v>Complements supplied packages and fills a portfolio gap.</x:v>
      </x:c>
    </x:row>
    <x:row r="4">
      <x:c r="A4" s="14" t="str">
        <x:v>Distinctiveness hypothesis</x:v>
      </x:c>
      <x:c r="B4" s="16" t="n">
        <x:v>0.2</x:v>
      </x:c>
      <x:c r="C4" s="14" t="str">
        <x:v>Potential for a specific technical mechanism distinguishable from broad known concepts.</x:v>
      </x:c>
    </x:row>
    <x:row r="5">
      <x:c r="A5" s="14" t="str">
        <x:v>Reuse across portfolio</x:v>
      </x:c>
      <x:c r="B5" s="16" t="n">
        <x:v>0.15</x:v>
      </x:c>
      <x:c r="C5" s="14" t="str">
        <x:v>Reuses schemas, test cases, and validation work without duplicating controllers.</x:v>
      </x:c>
    </x:row>
    <x:row r="6">
      <x:c r="A6" s="14" t="str">
        <x:v>Feasibility</x:v>
      </x:c>
      <x:c r="B6" s="16" t="n">
        <x:v>0.15</x:v>
      </x:c>
      <x:c r="C6" s="14" t="str">
        <x:v>Can be prototyped without building a full vehicle.</x:v>
      </x:c>
    </x:row>
    <x:row r="7">
      <x:c r="A7" s="14" t="str">
        <x:v>Market breadth</x:v>
      </x:c>
      <x:c r="B7" s="16" t="n">
        <x:v>0.1</x:v>
      </x:c>
      <x:c r="C7" s="14" t="str">
        <x:v>Potential use across civilian and safety-focused robotics.</x:v>
      </x:c>
    </x:row>
    <x:row r="8">
      <x:c r="A8" s="14" t="str">
        <x:v>Evidence readiness</x:v>
      </x:c>
      <x:c r="B8" s="16" t="n">
        <x:v>0.1</x:v>
      </x:c>
      <x:c r="C8" s="14" t="str">
        <x:v>Starting data and examples available in supplied packages.</x:v>
      </x:c>
    </x:row>
    <x:row r="9">
      <x:c r="A9" s="14" t="str">
        <x:v>Safety/regulatory manageability</x:v>
      </x:c>
      <x:c r="B9" s="16" t="n">
        <x:v>0.1</x:v>
      </x:c>
      <x:c r="C9" s="14" t="str">
        <x:v>Higher score means scope is easier to keep bounded as validation tooling.</x:v>
      </x:c>
    </x:row>
    <x:row r="10">
      <x:c r="A10" s="14" t="str">
        <x:v>Total weight</x:v>
      </x:c>
      <x:c r="B10" s="16" t="n">
        <x:f>SUM(B3:B9)</x:f>
        <x:v>1</x:v>
      </x:c>
      <x:c r="C10" s="14"/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</x:cols>
  <x:sheetData>
    <x:row r="1">
      <x:c r="A1" s="3" t="str">
        <x:v>Patent Opportunity Prioritization | Editable scores 1-5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18" t="str">
        <x:v>ID</x:v>
      </x:c>
      <x:c r="B2" s="18" t="str">
        <x:v>Opportunity</x:v>
      </x:c>
      <x:c r="C2" s="18" t="str">
        <x:v>Strategic fit</x:v>
      </x:c>
      <x:c r="D2" s="18" t="str">
        <x:v>Distinctiveness</x:v>
      </x:c>
      <x:c r="E2" s="18" t="str">
        <x:v>Reuse</x:v>
      </x:c>
      <x:c r="F2" s="18" t="str">
        <x:v>Feasibility</x:v>
      </x:c>
      <x:c r="G2" s="18" t="str">
        <x:v>Market breadth</x:v>
      </x:c>
      <x:c r="H2" s="18" t="str">
        <x:v>Evidence ready</x:v>
      </x:c>
      <x:c r="I2" s="18" t="str">
        <x:v>Safety/manageability</x:v>
      </x:c>
      <x:c r="J2" s="18" t="str">
        <x:v>Weighted score</x:v>
      </x:c>
      <x:c r="K2" s="18" t="str">
        <x:v>Rank</x:v>
      </x:c>
    </x:row>
    <x:row r="3">
      <x:c r="A3" s="14" t="str">
        <x:v>C1</x:v>
      </x:c>
      <x:c r="B3" s="14" t="str">
        <x:v>TRACEGATE: change-impact verification and readiness gate</x:v>
      </x:c>
      <x:c r="C3" s="14" t="n">
        <x:v>5</x:v>
      </x:c>
      <x:c r="D3" s="14" t="n">
        <x:v>4</x:v>
      </x:c>
      <x:c r="E3" s="14" t="n">
        <x:v>5</x:v>
      </x:c>
      <x:c r="F3" s="14" t="n">
        <x:v>4</x:v>
      </x:c>
      <x:c r="G3" s="14" t="n">
        <x:v>5</x:v>
      </x:c>
      <x:c r="H3" s="14" t="n">
        <x:v>4</x:v>
      </x:c>
      <x:c r="I3" s="14" t="n">
        <x:v>5</x:v>
      </x:c>
      <x:c r="J3" s="20" t="n">
        <x:f>(C3*Weights!$B$3+D3*Weights!$B$4+E3*Weights!$B$5+F3*Weights!$B$6+G3*Weights!$B$7+H3*Weights!$B$8+I3*Weights!$B$9)/Weights!$B$10</x:f>
        <x:v>4.55</x:v>
      </x:c>
      <x:c r="K3" s="14" t="n">
        <x:f>RANK(J3,$J$3:$J$8,0)</x:f>
        <x:v>1</x:v>
      </x:c>
    </x:row>
    <x:row r="4">
      <x:c r="A4" s="14" t="str">
        <x:v>C2</x:v>
      </x:c>
      <x:c r="B4" s="14" t="str">
        <x:v>Configuration / maintenance passport for modular autonomous systems</x:v>
      </x:c>
      <x:c r="C4" s="14" t="n">
        <x:v>5</x:v>
      </x:c>
      <x:c r="D4" s="14" t="n">
        <x:v>3</x:v>
      </x:c>
      <x:c r="E4" s="14" t="n">
        <x:v>5</x:v>
      </x:c>
      <x:c r="F4" s="14" t="n">
        <x:v>4</x:v>
      </x:c>
      <x:c r="G4" s="14" t="n">
        <x:v>4</x:v>
      </x:c>
      <x:c r="H4" s="14" t="n">
        <x:v>4</x:v>
      </x:c>
      <x:c r="I4" s="14" t="n">
        <x:v>5</x:v>
      </x:c>
      <x:c r="J4" s="20" t="n">
        <x:f>(C4*Weights!$B$3+D4*Weights!$B$4+E4*Weights!$B$5+F4*Weights!$B$6+G4*Weights!$B$7+H4*Weights!$B$8+I4*Weights!$B$9)/Weights!$B$10</x:f>
        <x:v>4.25</x:v>
      </x:c>
      <x:c r="K4" s="14" t="n">
        <x:f>RANK(J4,$J$3:$J$8,0)</x:f>
        <x:v>2</x:v>
      </x:c>
    </x:row>
    <x:row r="5">
      <x:c r="A5" s="14" t="str">
        <x:v>C3</x:v>
      </x:c>
      <x:c r="B5" s="14" t="str">
        <x:v>Cross-platform sensor data-quality and disagreement evidence service</x:v>
      </x:c>
      <x:c r="C5" s="14" t="n">
        <x:v>4</x:v>
      </x:c>
      <x:c r="D5" s="14" t="n">
        <x:v>4</x:v>
      </x:c>
      <x:c r="E5" s="14" t="n">
        <x:v>5</x:v>
      </x:c>
      <x:c r="F5" s="14" t="n">
        <x:v>3</x:v>
      </x:c>
      <x:c r="G5" s="14" t="n">
        <x:v>4</x:v>
      </x:c>
      <x:c r="H5" s="14" t="n">
        <x:v>3</x:v>
      </x:c>
      <x:c r="I5" s="14" t="n">
        <x:v>4</x:v>
      </x:c>
      <x:c r="J5" s="20" t="n">
        <x:f>(C5*Weights!$B$3+D5*Weights!$B$4+E5*Weights!$B$5+F5*Weights!$B$6+G5*Weights!$B$7+H5*Weights!$B$8+I5*Weights!$B$9)/Weights!$B$10</x:f>
        <x:v>3.9</x:v>
      </x:c>
      <x:c r="K5" s="14" t="n">
        <x:f>RANK(J5,$J$3:$J$8,0)</x:f>
        <x:v>3</x:v>
      </x:c>
    </x:row>
    <x:row r="6">
      <x:c r="A6" s="14" t="str">
        <x:v>C4</x:v>
      </x:c>
      <x:c r="B6" s="14" t="str">
        <x:v>Scenario-driven digital-twin / regression-validation bench</x:v>
      </x:c>
      <x:c r="C6" s="14" t="n">
        <x:v>4</x:v>
      </x:c>
      <x:c r="D6" s="14" t="n">
        <x:v>3</x:v>
      </x:c>
      <x:c r="E6" s="14" t="n">
        <x:v>4</x:v>
      </x:c>
      <x:c r="F6" s="14" t="n">
        <x:v>3</x:v>
      </x:c>
      <x:c r="G6" s="14" t="n">
        <x:v>4</x:v>
      </x:c>
      <x:c r="H6" s="14" t="n">
        <x:v>3</x:v>
      </x:c>
      <x:c r="I6" s="14" t="n">
        <x:v>4</x:v>
      </x:c>
      <x:c r="J6" s="20" t="n">
        <x:f>(C6*Weights!$B$3+D6*Weights!$B$4+E6*Weights!$B$5+F6*Weights!$B$6+G6*Weights!$B$7+H6*Weights!$B$8+I6*Weights!$B$9)/Weights!$B$10</x:f>
        <x:v>3.5500000000000003</x:v>
      </x:c>
      <x:c r="K6" s="14" t="n">
        <x:f>RANK(J6,$J$3:$J$8,0)</x:f>
        <x:v>4</x:v>
      </x:c>
    </x:row>
    <x:row r="7">
      <x:c r="A7" s="14" t="str">
        <x:v>C5</x:v>
      </x:c>
      <x:c r="B7" s="14" t="str">
        <x:v>Energy-aware degraded-mode recovery manager</x:v>
      </x:c>
      <x:c r="C7" s="14" t="n">
        <x:v>4</x:v>
      </x:c>
      <x:c r="D7" s="14" t="n">
        <x:v>2</x:v>
      </x:c>
      <x:c r="E7" s="14" t="n">
        <x:v>4</x:v>
      </x:c>
      <x:c r="F7" s="14" t="n">
        <x:v>3</x:v>
      </x:c>
      <x:c r="G7" s="14" t="n">
        <x:v>4</x:v>
      </x:c>
      <x:c r="H7" s="14" t="n">
        <x:v>3</x:v>
      </x:c>
      <x:c r="I7" s="14" t="n">
        <x:v>4</x:v>
      </x:c>
      <x:c r="J7" s="20" t="n">
        <x:f>(C7*Weights!$B$3+D7*Weights!$B$4+E7*Weights!$B$5+F7*Weights!$B$6+G7*Weights!$B$7+H7*Weights!$B$8+I7*Weights!$B$9)/Weights!$B$10</x:f>
        <x:v>3.35</x:v>
      </x:c>
      <x:c r="K7" s="14" t="n">
        <x:f>RANK(J7,$J$3:$J$8,0)</x:f>
        <x:v>5</x:v>
      </x:c>
    </x:row>
    <x:row r="8">
      <x:c r="A8" s="14" t="str">
        <x:v>C6</x:v>
      </x:c>
      <x:c r="B8" s="14" t="str">
        <x:v>New domain-specific subsystem (e.g., all-weather UGV perception)</x:v>
      </x:c>
      <x:c r="C8" s="14" t="n">
        <x:v>3</x:v>
      </x:c>
      <x:c r="D8" s="14" t="n">
        <x:v>3</x:v>
      </x:c>
      <x:c r="E8" s="14" t="n">
        <x:v>2</x:v>
      </x:c>
      <x:c r="F8" s="14" t="n">
        <x:v>2</x:v>
      </x:c>
      <x:c r="G8" s="14" t="n">
        <x:v>3</x:v>
      </x:c>
      <x:c r="H8" s="14" t="n">
        <x:v>2</x:v>
      </x:c>
      <x:c r="I8" s="14" t="n">
        <x:v>3</x:v>
      </x:c>
      <x:c r="J8" s="20" t="n">
        <x:f>(C8*Weights!$B$3+D8*Weights!$B$4+E8*Weights!$B$5+F8*Weights!$B$6+G8*Weights!$B$7+H8*Weights!$B$8+I8*Weights!$B$9)/Weights!$B$10</x:f>
        <x:v>2.6000000000000005</x:v>
      </x:c>
      <x:c r="K8" s="14" t="n">
        <x:f>RANK(J8,$J$3:$J$8,0)</x:f>
        <x:v>6</x:v>
      </x:c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</x:row>
    <x:row r="10">
      <x:c r="A10" s="14" t="str">
        <x:v>Scores are judgment calls, not market research or a patentability opinion. Re-score after interviews, prototype evidence, and a claim-focused search.</x:v>
      </x:c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</x:row>
  </x:sheetData>
  <x:mergeCells>
    <x:mergeCell ref="A1:K1"/>
    <x:mergeCell ref="A10:K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38" hidden="0" customWidth="1"/>
    <x:col min="3" max="3" width="43" hidden="0" customWidth="1"/>
    <x:col min="4" max="4" width="39" hidden="0" customWidth="1"/>
    <x:col min="5" max="5" width="18" hidden="0" customWidth="1"/>
    <x:col min="6" max="6" width="16" hidden="0" customWidth="1"/>
  </x:cols>
  <x:sheetData>
    <x:row r="1">
      <x:c r="A1" s="3" t="str">
        <x:v>TRACEGATE Development Gates</x:v>
      </x:c>
      <x:c r="B1" s="3"/>
      <x:c r="C1" s="3"/>
      <x:c r="D1" s="3"/>
      <x:c r="E1" s="3"/>
      <x:c r="F1" s="3"/>
    </x:row>
    <x:row r="2">
      <x:c r="A2" s="10" t="str">
        <x:v>Gate</x:v>
      </x:c>
      <x:c r="B2" s="10" t="str">
        <x:v>Work product</x:v>
      </x:c>
      <x:c r="C2" s="10" t="str">
        <x:v>Objective exit criteria</x:v>
      </x:c>
      <x:c r="D2" s="10" t="str">
        <x:v>Stop/redirect trigger</x:v>
      </x:c>
      <x:c r="E2" s="10" t="str">
        <x:v>Owner</x:v>
      </x:c>
      <x:c r="F2" s="10" t="str">
        <x:v>Status</x:v>
      </x:c>
    </x:row>
    <x:row r="3">
      <x:c r="A3" s="14" t="str">
        <x:v>G0 - Identity &amp; rights</x:v>
      </x:c>
      <x:c r="B3" s="14" t="str">
        <x:v>Source-of-truth register; resolve AQUAVANTIS-G identity; inventor/disclosure/funding questionnaire</x:v>
      </x:c>
      <x:c r="C3" s="14" t="str">
        <x:v>All concepts have defined version, use, contributors, rights, and disclosure history</x:v>
      </x:c>
      <x:c r="D3" s="14" t="str">
        <x:v>Unresolved ownership or inconsistent source identity</x:v>
      </x:c>
      <x:c r="E3" s="14" t="str"/>
      <x:c r="F3" s="14" t="str">
        <x:v>Not Started</x:v>
      </x:c>
    </x:row>
    <x:row r="4">
      <x:c r="A4" s="14" t="str">
        <x:v>G1 - Problem spec</x:v>
      </x:c>
      <x:c r="B4" s="14" t="str">
        <x:v>Problem statement; dependency graph; data schema; 3 worked examples</x:v>
      </x:c>
      <x:c r="C4" s="14" t="str">
        <x:v>Measurable improvement defined vs a full-regression baseline</x:v>
      </x:c>
      <x:c r="D4" s="14" t="str">
        <x:v>Only a generic requirements/configuration tracker emerges</x:v>
      </x:c>
      <x:c r="E4" s="14" t="str"/>
      <x:c r="F4" s="14" t="str">
        <x:v>Not Started</x:v>
      </x:c>
    </x:row>
    <x:row r="5">
      <x:c r="A5" s="14" t="str">
        <x:v>G2 - Prototype</x:v>
      </x:c>
      <x:c r="B5" s="14" t="str">
        <x:v>Config snapshot, impact propagation, targeted test selector, evidence ledger, readiness states</x:v>
      </x:c>
      <x:c r="C5" s="14" t="str">
        <x:v>Trace from one change to impacted tests/evidence and explainable result</x:v>
      </x:c>
      <x:c r="D5" s="14" t="str">
        <x:v>False-clear state or unexplained omission of safety-critical test</x:v>
      </x:c>
      <x:c r="E5" s="14" t="str"/>
      <x:c r="F5" s="14" t="str">
        <x:v>Not Started</x:v>
      </x:c>
    </x:row>
    <x:row r="6">
      <x:c r="A6" s="14" t="str">
        <x:v>G3 - Validation</x:v>
      </x:c>
      <x:c r="B6" s="14" t="str">
        <x:v>Benign scenarios; stale/conflicting evidence injection; reproducibility report</x:v>
      </x:c>
      <x:c r="C6" s="14" t="str">
        <x:v>Measured coverage of impacted proof obligations and repeatable result</x:v>
      </x:c>
      <x:c r="D6" s="14" t="str">
        <x:v>No improvement vs baseline or results depend on undocumented manual exceptions</x:v>
      </x:c>
      <x:c r="E6" s="14" t="str"/>
      <x:c r="F6" s="14" t="str">
        <x:v>Not Started</x:v>
      </x:c>
    </x:row>
    <x:row r="7">
      <x:c r="A7" s="14" t="str">
        <x:v>G4 - Prior art</x:v>
      </x:c>
      <x:c r="B7" s="14" t="str">
        <x:v>Claim-focused search and claim chart against closest patent/non-patent references</x:v>
      </x:c>
      <x:c r="C7" s="14" t="str">
        <x:v>Candidate claim maps to specific technical mechanism and supported embodiments</x:v>
      </x:c>
      <x:c r="D7" s="14" t="str">
        <x:v>Closest art covers core sequence without a defensible distinction</x:v>
      </x:c>
      <x:c r="E7" s="14" t="str"/>
      <x:c r="F7" s="14" t="str">
        <x:v>Not Started</x:v>
      </x:c>
    </x:row>
    <x:row r="8">
      <x:c r="A8" s="14" t="str">
        <x:v>G5 - Filing decision</x:v>
      </x:c>
      <x:c r="B8" s="14" t="str">
        <x:v>Counsel-reviewed specification, drawings, claims, inventorship and rights review</x:v>
      </x:c>
      <x:c r="C8" s="14" t="str">
        <x:v>Filing strategy approved with support and deadlines understood</x:v>
      </x:c>
      <x:c r="D8" s="14" t="str">
        <x:v>Insufficient disclosure or no meaningful technical differentiation</x:v>
      </x:c>
      <x:c r="E8" s="14" t="str"/>
      <x:c r="F8" s="14" t="str">
        <x:v>Not Started</x:v>
      </x:c>
    </x:row>
  </x:sheetData>
  <x:mergeCells>
    <x:mergeCell ref="A1:F1"/>
  </x:mergeCells>
  <x:dataValidations count="1">
    <x:dataValidation type="list" sqref="F3:F8">
      <x:formula1>"Not Started,In Progress,Blocked,Complete"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44" hidden="0" customWidth="1"/>
    <x:col min="3" max="3" width="48" hidden="0" customWidth="1"/>
    <x:col min="4" max="4" width="47" hidden="0" customWidth="1"/>
    <x:col min="5" max="5" width="30" hidden="0" customWidth="1"/>
  </x:cols>
  <x:sheetData>
    <x:row r="1">
      <x:c r="A1" s="3" t="str">
        <x:v>Source Register and Portfolio Findings</x:v>
      </x:c>
      <x:c r="B1" s="3"/>
      <x:c r="C1" s="3"/>
      <x:c r="D1" s="3"/>
      <x:c r="E1" s="3"/>
    </x:row>
    <x:row r="2">
      <x:c r="A2" s="10" t="str">
        <x:v>Package</x:v>
      </x:c>
      <x:c r="B2" s="10" t="str">
        <x:v>Key source files reviewed</x:v>
      </x:c>
      <x:c r="C2" s="10" t="str">
        <x:v>Technical center</x:v>
      </x:c>
      <x:c r="D2" s="10" t="str">
        <x:v>Known gap / warning</x:v>
      </x:c>
      <x:c r="E2" s="10" t="str">
        <x:v>Portfolio role</x:v>
      </x:c>
    </x:row>
    <x:row r="3">
      <x:c r="A3" s="14" t="str">
        <x:v>AEROSYNC</x:v>
      </x:c>
      <x:c r="B3" s="14" t="str">
        <x:v>Complete package PDF; specification DOCX/PDF; engineering/safety appendix; prior-art checklist</x:v>
      </x:c>
      <x:c r="C3" s="14" t="str">
        <x:v>Civilian quadrotor swarm; shared mission state; safety-constrained task allocation; bounded contingency behavior</x:v>
      </x:c>
      <x:c r="D3" s="14" t="str">
        <x:v>Concept stage; cooperative UAV task allocation is crowded prior-art territory; novelty unverified</x:v>
      </x:c>
      <x:c r="E3" s="14" t="str">
        <x:v>Fleet coordination and swarm use case</x:v>
      </x:c>
    </x:row>
    <x:row r="4">
      <x:c r="A4" s="14" t="str">
        <x:v>AQUAVANTIS-G</x:v>
      </x:c>
      <x:c r="B4" s="14" t="str">
        <x:v>Complete package PDF; specification DOCX/PDF; validation appendix; checklist; README</x:v>
      </x:c>
      <x:c r="C4" s="14" t="str">
        <x:v>Actual supplied documents describe civilian UGV: terrain/traversability, localization confidence, energy, payload, recovery, safety supervisor</x:v>
      </x:c>
      <x:c r="D4" s="14" t="str">
        <x:v>Name/topic mismatch: source folder indicates UGV, not submarine</x:v>
      </x:c>
      <x:c r="E4" s="14" t="str">
        <x:v>Ground mobility/autonomy use case once confirmed</x:v>
      </x:c>
    </x:row>
    <x:row r="5">
      <x:c r="A5" s="14" t="str">
        <x:v>SAGE-APC</x:v>
      </x:c>
      <x:c r="B5" s="14" t="str">
        <x:v>Patent specification draft; engineering annex; preliminary prior-art/filing memo</x:v>
      </x:c>
      <x:c r="C5" s="14" t="str">
        <x:v>Modular configuration-and-condition ledger; zone/module identity; installation/condition; crew-safety and inspection states</x:v>
      </x:c>
      <x:c r="D5" s="14" t="str">
        <x:v>Prior-art memo flags modular vehicles, armor-condition sensing, and damage detection as adjacent</x:v>
      </x:c>
      <x:c r="E5" s="14" t="str">
        <x:v>Physical configuration and maintenance assurance</x:v>
      </x:c>
    </x:row>
    <x:row r="6">
      <x:c r="A6" s="14" t="str">
        <x:v>UCAS revised</x:v>
      </x:c>
      <x:c r="B6" s="14" t="str">
        <x:v>Utility specification; invention disclosure/claim strategy; error-resolution log; preliminary IDS</x:v>
      </x:c>
      <x:c r="C6" s="14" t="str">
        <x:v>Confidence/provenance-aware aircraft autonomy; deterministic safety gate; health, authenticated mission contract, reconciliation, model/evidence log</x:v>
      </x:c>
      <x:c r="D6" s="14" t="str">
        <x:v>Very broad claim surface; overlap with mission planning, sensor fusion, assurance and health-aware contingencies</x:v>
      </x:c>
      <x:c r="E6" s="14" t="str">
        <x:v>Runtime aircraft autonomy and evidence patterns</x:v>
      </x:c>
    </x:row>
  </x:sheetData>
  <x:mergeCells>
    <x:mergeCell ref="A1:E1"/>
  </x:mergeCells>
  <x:pageMargins left="0.7" right="0.7" top="0.75" bottom="0.75" header="0.3" footer="0.3"/>
</x:worksheet>
</file>